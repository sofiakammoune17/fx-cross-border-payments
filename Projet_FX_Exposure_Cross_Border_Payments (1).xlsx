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 - ESLSCA\Bureau\"/>
    </mc:Choice>
  </mc:AlternateContent>
  <bookViews>
    <workbookView xWindow="0" yWindow="0" windowWidth="20490" windowHeight="7620" activeTab="2"/>
  </bookViews>
  <sheets>
    <sheet name="Inputs" sheetId="1" r:id="rId1"/>
    <sheet name="Scenario Analysis" sheetId="2" r:id="rId2"/>
    <sheet name="Dashboard" sheetId="3" r:id="rId3"/>
  </sheets>
  <calcPr calcId="162913"/>
</workbook>
</file>

<file path=xl/calcChain.xml><?xml version="1.0" encoding="utf-8"?>
<calcChain xmlns="http://schemas.openxmlformats.org/spreadsheetml/2006/main">
  <c r="B7" i="3" l="1"/>
  <c r="B4" i="3"/>
  <c r="B8" i="2"/>
  <c r="B7" i="2"/>
  <c r="C6" i="2"/>
  <c r="E6" i="2" s="1"/>
  <c r="H6" i="2" s="1"/>
  <c r="B6" i="2"/>
  <c r="F6" i="2" s="1"/>
  <c r="B5" i="2"/>
  <c r="B4" i="2"/>
  <c r="E7" i="1"/>
  <c r="B6" i="3" s="1"/>
  <c r="E5" i="1"/>
  <c r="E6" i="1" s="1"/>
  <c r="E4" i="1"/>
  <c r="C7" i="2" s="1"/>
  <c r="E7" i="2" s="1"/>
  <c r="H7" i="2" s="1"/>
  <c r="H4" i="2" l="1"/>
  <c r="G7" i="2"/>
  <c r="H5" i="2"/>
  <c r="D8" i="2"/>
  <c r="G8" i="2" s="1"/>
  <c r="D4" i="2"/>
  <c r="G4" i="2" s="1"/>
  <c r="D5" i="2"/>
  <c r="G5" i="2" s="1"/>
  <c r="D6" i="2"/>
  <c r="G6" i="2" s="1"/>
  <c r="D7" i="2"/>
  <c r="F5" i="2"/>
  <c r="F4" i="2"/>
  <c r="C5" i="2"/>
  <c r="E5" i="2" s="1"/>
  <c r="B5" i="3"/>
  <c r="C4" i="2"/>
  <c r="E4" i="2" s="1"/>
  <c r="F7" i="2"/>
  <c r="C8" i="2"/>
  <c r="E8" i="2" s="1"/>
  <c r="H8" i="2" s="1"/>
  <c r="F8" i="2" l="1"/>
</calcChain>
</file>

<file path=xl/sharedStrings.xml><?xml version="1.0" encoding="utf-8"?>
<sst xmlns="http://schemas.openxmlformats.org/spreadsheetml/2006/main" count="48" uniqueCount="46">
  <si>
    <t>FLOW - FX Exposure &amp; Cross-Border Payments Model</t>
  </si>
  <si>
    <t>Assumption</t>
  </si>
  <si>
    <t>Value</t>
  </si>
  <si>
    <t>Calculated metric</t>
  </si>
  <si>
    <t>Formula / Result</t>
  </si>
  <si>
    <t>USD payment due</t>
  </si>
  <si>
    <t>Theoretical 3M forward EUR/USD</t>
  </si>
  <si>
    <t>Current EUR/USD spot (USD per EUR)</t>
  </si>
  <si>
    <t>Initial EUR equivalent</t>
  </si>
  <si>
    <t>EUR annual rate</t>
  </si>
  <si>
    <t>Option premium (EUR)</t>
  </si>
  <si>
    <t>USD annual rate</t>
  </si>
  <si>
    <t>100% forward EUR cost</t>
  </si>
  <si>
    <t>Tenor (years)</t>
  </si>
  <si>
    <t>Option strike EUR/USD</t>
  </si>
  <si>
    <t>Option premium (% initial EUR equiv.)</t>
  </si>
  <si>
    <t>Selected hedge ratio</t>
  </si>
  <si>
    <t>Illustrative payment fee</t>
  </si>
  <si>
    <t>Scenario Analysis - EUR cost of USD 100,000 payment</t>
  </si>
  <si>
    <t>EUR/USD at payment</t>
  </si>
  <si>
    <t>Unhedged cost (EUR)</t>
  </si>
  <si>
    <t>100% Forward (EUR)</t>
  </si>
  <si>
    <t>Option hedge (EUR)</t>
  </si>
  <si>
    <t>50% Forward hedge (EUR)</t>
  </si>
  <si>
    <t>Saving vs unhedged - Forward</t>
  </si>
  <si>
    <t>Saving vs unhedged - Option</t>
  </si>
  <si>
    <t>Saving vs unhedged - 50% hedge</t>
  </si>
  <si>
    <t>Interpretation</t>
  </si>
  <si>
    <t>EUR weakens (EUR/USD falls)</t>
  </si>
  <si>
    <t>Unhedged payment becomes more expensive in EUR; forward gives budget certainty.</t>
  </si>
  <si>
    <t>EUR strengthens (EUR/USD rises)</t>
  </si>
  <si>
    <t>Unhedged benefits; option can preserve upside after paying the premium.</t>
  </si>
  <si>
    <t>Partial hedge</t>
  </si>
  <si>
    <t>Balances certainty and flexibility; the hedge ratio can be changed in Inputs.</t>
  </si>
  <si>
    <t>FLOW - Treasury Decision Dashboard</t>
  </si>
  <si>
    <t>KPI</t>
  </si>
  <si>
    <t>USD exposure</t>
  </si>
  <si>
    <t>3M forward EUR/USD</t>
  </si>
  <si>
    <t>Forward EUR budget</t>
  </si>
  <si>
    <t>Decision guide</t>
  </si>
  <si>
    <t>Priority = certainty</t>
  </si>
  <si>
    <t>Use a higher forward hedge ratio to lock the EUR cost.</t>
  </si>
  <si>
    <t>Priority = upside participation</t>
  </si>
  <si>
    <t>Option hedge protects against adverse FX while retaining benefit if EUR strengthens, net of premium.</t>
  </si>
  <si>
    <t>Priority = compromise</t>
  </si>
  <si>
    <t>A partial hedge reduces FX sensitivity while preserving some flexibility.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</si>
</sst>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[Red]\(#,##0\);\-"/>
    <numFmt numFmtId="165" formatCode="0.0000"/>
    <numFmt numFmtId="166" formatCode="#,##0.00;[Red]\(#,##0.00\);\-"/>
  </numFmts>
  <fonts count="7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sz val="11"/>
      <color rgb="FF0000FF"/>
      <name val="Carlito"/>
    </font>
    <font>
      <b/>
      <sz val="11"/>
      <color rgb="FFFFFFFF"/>
      <name val="Carlito"/>
    </font>
    <font>
      <b/>
      <sz val="13"/>
      <color rgb="FFFFFFFF"/>
      <name val="Carlito"/>
    </font>
    <font>
      <sz val="11"/>
      <color rgb="FF008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0" xfId="0" applyNumberFormat="1" applyFont="1" applyFill="1" applyBorder="1"/>
    <xf numFmtId="0" fontId="3" fillId="0" borderId="0" xfId="0" applyNumberFormat="1" applyFont="1" applyFill="1" applyBorder="1"/>
    <xf numFmtId="164" fontId="3" fillId="0" borderId="0" xfId="0" applyNumberFormat="1" applyFont="1" applyFill="1" applyBorder="1"/>
    <xf numFmtId="165" fontId="3" fillId="0" borderId="0" xfId="0" applyNumberFormat="1" applyFont="1" applyFill="1" applyBorder="1"/>
    <xf numFmtId="10" fontId="3" fillId="0" borderId="0" xfId="0" applyNumberFormat="1" applyFont="1" applyFill="1" applyBorder="1"/>
    <xf numFmtId="2" fontId="3" fillId="0" borderId="0" xfId="0" applyNumberFormat="1" applyFont="1" applyFill="1" applyBorder="1"/>
    <xf numFmtId="165" fontId="0" fillId="0" borderId="0" xfId="0" applyNumberFormat="1" applyFont="1" applyFill="1" applyBorder="1"/>
    <xf numFmtId="166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wrapText="1"/>
    </xf>
    <xf numFmtId="166" fontId="6" fillId="0" borderId="0" xfId="0" applyNumberFormat="1" applyFont="1" applyFill="1" applyBorder="1"/>
    <xf numFmtId="164" fontId="6" fillId="0" borderId="0" xfId="0" applyNumberFormat="1" applyFont="1" applyFill="1" applyBorder="1"/>
    <xf numFmtId="165" fontId="6" fillId="0" borderId="0" xfId="0" applyNumberFormat="1" applyFont="1" applyFill="1" applyBorder="1"/>
    <xf numFmtId="9" fontId="6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/>
    <xf numFmtId="0" fontId="0" fillId="0" borderId="0" xfId="0"/>
    <xf numFmtId="0" fontId="5" fillId="2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rPr lang="fr-FR"/>
              <a:t>EUR payment cost across FX scenarios</a:t>
            </a:r>
          </a:p>
        </c:rich>
      </c:tx>
      <c:layout>
        <c:manualLayout>
          <c:xMode val="edge"/>
          <c:yMode val="edge"/>
          <c:x val="0.14571759259259259"/>
          <c:y val="1.6260162601626018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Unhedged cost (EUR)</c:v>
          </c:tx>
          <c:marker>
            <c:symbol val="none"/>
          </c:marker>
          <c:cat>
            <c:numRef>
              <c:f>'Scenario Analysis'!$A$4:$A$8</c:f>
              <c:numCache>
                <c:formatCode>0.0000</c:formatCode>
                <c:ptCount val="5"/>
                <c:pt idx="0">
                  <c:v>1.05</c:v>
                </c:pt>
                <c:pt idx="1">
                  <c:v>1.1000000000000001</c:v>
                </c:pt>
                <c:pt idx="2">
                  <c:v>1.1599999999999999</c:v>
                </c:pt>
                <c:pt idx="3">
                  <c:v>1.22</c:v>
                </c:pt>
                <c:pt idx="4">
                  <c:v>1.28</c:v>
                </c:pt>
              </c:numCache>
            </c:numRef>
          </c:cat>
          <c:val>
            <c:numRef>
              <c:f>'Scenario Analysis'!$B$4:$B$8</c:f>
              <c:numCache>
                <c:formatCode>#\ ##0.00;[Red]\(#\ ##0.00\);\-</c:formatCode>
                <c:ptCount val="5"/>
                <c:pt idx="0">
                  <c:v>95238.095238095237</c:v>
                </c:pt>
                <c:pt idx="1">
                  <c:v>90909.090909090897</c:v>
                </c:pt>
                <c:pt idx="2">
                  <c:v>86206.896551724145</c:v>
                </c:pt>
                <c:pt idx="3">
                  <c:v>81967.213114754093</c:v>
                </c:pt>
                <c:pt idx="4">
                  <c:v>78125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EBC-4316-AD6E-36F460846DF8}"/>
            </c:ext>
          </c:extLst>
        </c:ser>
        <c:ser>
          <c:idx val="1"/>
          <c:order val="1"/>
          <c:tx>
            <c:v>100% Forward (EUR)</c:v>
          </c:tx>
          <c:marker>
            <c:symbol val="none"/>
          </c:marker>
          <c:cat>
            <c:numRef>
              <c:f>'Scenario Analysis'!$A$4:$A$8</c:f>
              <c:numCache>
                <c:formatCode>0.0000</c:formatCode>
                <c:ptCount val="5"/>
                <c:pt idx="0">
                  <c:v>1.05</c:v>
                </c:pt>
                <c:pt idx="1">
                  <c:v>1.1000000000000001</c:v>
                </c:pt>
                <c:pt idx="2">
                  <c:v>1.1599999999999999</c:v>
                </c:pt>
                <c:pt idx="3">
                  <c:v>1.22</c:v>
                </c:pt>
                <c:pt idx="4">
                  <c:v>1.28</c:v>
                </c:pt>
              </c:numCache>
            </c:numRef>
          </c:cat>
          <c:val>
            <c:numRef>
              <c:f>'Scenario Analysis'!$C$4:$C$8</c:f>
              <c:numCache>
                <c:formatCode>#\ ##0.00;[Red]\(#\ ##0.00\);\-</c:formatCode>
                <c:ptCount val="5"/>
                <c:pt idx="0">
                  <c:v>85780.129737111623</c:v>
                </c:pt>
                <c:pt idx="1">
                  <c:v>85780.129737111623</c:v>
                </c:pt>
                <c:pt idx="2">
                  <c:v>85780.129737111623</c:v>
                </c:pt>
                <c:pt idx="3">
                  <c:v>85780.129737111623</c:v>
                </c:pt>
                <c:pt idx="4">
                  <c:v>85780.129737111623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EBC-4316-AD6E-36F460846DF8}"/>
            </c:ext>
          </c:extLst>
        </c:ser>
        <c:ser>
          <c:idx val="2"/>
          <c:order val="2"/>
          <c:tx>
            <c:v>Option hedge (EUR)</c:v>
          </c:tx>
          <c:marker>
            <c:symbol val="none"/>
          </c:marker>
          <c:cat>
            <c:numRef>
              <c:f>'Scenario Analysis'!$A$4:$A$8</c:f>
              <c:numCache>
                <c:formatCode>0.0000</c:formatCode>
                <c:ptCount val="5"/>
                <c:pt idx="0">
                  <c:v>1.05</c:v>
                </c:pt>
                <c:pt idx="1">
                  <c:v>1.1000000000000001</c:v>
                </c:pt>
                <c:pt idx="2">
                  <c:v>1.1599999999999999</c:v>
                </c:pt>
                <c:pt idx="3">
                  <c:v>1.22</c:v>
                </c:pt>
                <c:pt idx="4">
                  <c:v>1.28</c:v>
                </c:pt>
              </c:numCache>
            </c:numRef>
          </c:cat>
          <c:val>
            <c:numRef>
              <c:f>'Scenario Analysis'!$D$4:$D$8</c:f>
              <c:numCache>
                <c:formatCode>#\ ##0.00;[Red]\(#\ ##0.00\);\-</c:formatCode>
                <c:ptCount val="5"/>
                <c:pt idx="0">
                  <c:v>87500</c:v>
                </c:pt>
                <c:pt idx="1">
                  <c:v>87500</c:v>
                </c:pt>
                <c:pt idx="2">
                  <c:v>87500</c:v>
                </c:pt>
                <c:pt idx="3">
                  <c:v>83260.316563029948</c:v>
                </c:pt>
                <c:pt idx="4">
                  <c:v>79418.103448275855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EBC-4316-AD6E-36F460846DF8}"/>
            </c:ext>
          </c:extLst>
        </c:ser>
        <c:ser>
          <c:idx val="3"/>
          <c:order val="3"/>
          <c:tx>
            <c:v>50% Forward hedge (EUR)</c:v>
          </c:tx>
          <c:marker>
            <c:symbol val="none"/>
          </c:marker>
          <c:cat>
            <c:numRef>
              <c:f>'Scenario Analysis'!$A$4:$A$8</c:f>
              <c:numCache>
                <c:formatCode>0.0000</c:formatCode>
                <c:ptCount val="5"/>
                <c:pt idx="0">
                  <c:v>1.05</c:v>
                </c:pt>
                <c:pt idx="1">
                  <c:v>1.1000000000000001</c:v>
                </c:pt>
                <c:pt idx="2">
                  <c:v>1.1599999999999999</c:v>
                </c:pt>
                <c:pt idx="3">
                  <c:v>1.22</c:v>
                </c:pt>
                <c:pt idx="4">
                  <c:v>1.28</c:v>
                </c:pt>
              </c:numCache>
            </c:numRef>
          </c:cat>
          <c:val>
            <c:numRef>
              <c:f>'Scenario Analysis'!$E$4:$E$8</c:f>
              <c:numCache>
                <c:formatCode>#\ ##0.00;[Red]\(#\ ##0.00\);\-</c:formatCode>
                <c:ptCount val="5"/>
                <c:pt idx="0">
                  <c:v>90509.11248760343</c:v>
                </c:pt>
                <c:pt idx="1">
                  <c:v>88344.610323101253</c:v>
                </c:pt>
                <c:pt idx="2">
                  <c:v>85993.513144417884</c:v>
                </c:pt>
                <c:pt idx="3">
                  <c:v>83873.671425932858</c:v>
                </c:pt>
                <c:pt idx="4">
                  <c:v>81952.564868555812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EBC-4316-AD6E-36F460846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.00;[Red]\(#\ ##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</xdr:colOff>
      <xdr:row>0</xdr:row>
      <xdr:rowOff>47625</xdr:rowOff>
    </xdr:from>
    <xdr:to>
      <xdr:col>16</xdr:col>
      <xdr:colOff>66675</xdr:colOff>
      <xdr:row>16</xdr:row>
      <xdr:rowOff>19050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A14" sqref="A14:F14"/>
    </sheetView>
  </sheetViews>
  <sheetFormatPr baseColWidth="10" defaultColWidth="9" defaultRowHeight="14.25"/>
  <cols>
    <col min="1" max="1" width="34" customWidth="1"/>
    <col min="2" max="2" width="23" customWidth="1"/>
    <col min="4" max="4" width="30" customWidth="1"/>
    <col min="5" max="5" width="24" customWidth="1"/>
  </cols>
  <sheetData>
    <row r="1" spans="1:6" ht="16.7" customHeight="1">
      <c r="A1" s="15" t="s">
        <v>0</v>
      </c>
      <c r="B1" s="15"/>
      <c r="C1" s="15"/>
      <c r="D1" s="15"/>
      <c r="E1" s="15"/>
      <c r="F1" s="15"/>
    </row>
    <row r="3" spans="1:6" ht="15" customHeight="1">
      <c r="A3" s="1" t="s">
        <v>1</v>
      </c>
      <c r="B3" s="1" t="s">
        <v>2</v>
      </c>
      <c r="D3" s="1" t="s">
        <v>3</v>
      </c>
      <c r="E3" s="1" t="s">
        <v>4</v>
      </c>
    </row>
    <row r="4" spans="1:6" ht="15" customHeight="1">
      <c r="A4" t="s">
        <v>5</v>
      </c>
      <c r="B4" s="3">
        <v>100000</v>
      </c>
      <c r="D4" t="s">
        <v>6</v>
      </c>
      <c r="E4" s="7">
        <f>B5*(1+B7*B8)/(1+B6*B8)</f>
        <v>1.1657711442786072</v>
      </c>
    </row>
    <row r="5" spans="1:6" ht="15" customHeight="1">
      <c r="A5" t="s">
        <v>7</v>
      </c>
      <c r="B5" s="4">
        <v>1.1599999999999999</v>
      </c>
      <c r="D5" t="s">
        <v>8</v>
      </c>
      <c r="E5" s="8">
        <f>B4/B5</f>
        <v>86206.896551724145</v>
      </c>
    </row>
    <row r="6" spans="1:6" ht="15" customHeight="1">
      <c r="A6" t="s">
        <v>9</v>
      </c>
      <c r="B6" s="5">
        <v>0.02</v>
      </c>
      <c r="D6" t="s">
        <v>10</v>
      </c>
      <c r="E6" s="8">
        <f>E5*B10</f>
        <v>1293.1034482758621</v>
      </c>
    </row>
    <row r="7" spans="1:6" ht="15" customHeight="1">
      <c r="A7" t="s">
        <v>11</v>
      </c>
      <c r="B7" s="5">
        <v>0.04</v>
      </c>
      <c r="D7" t="s">
        <v>12</v>
      </c>
      <c r="E7" s="8">
        <f>B4/E4</f>
        <v>85780.129737111623</v>
      </c>
    </row>
    <row r="8" spans="1:6" ht="15" customHeight="1">
      <c r="A8" t="s">
        <v>13</v>
      </c>
      <c r="B8" s="6">
        <v>0.25</v>
      </c>
    </row>
    <row r="9" spans="1:6" ht="15" customHeight="1">
      <c r="A9" t="s">
        <v>14</v>
      </c>
      <c r="B9" s="5">
        <v>1.1599999999999999</v>
      </c>
    </row>
    <row r="10" spans="1:6" ht="15" customHeight="1">
      <c r="A10" t="s">
        <v>15</v>
      </c>
      <c r="B10" s="5">
        <v>1.4999999999999999E-2</v>
      </c>
    </row>
    <row r="11" spans="1:6" ht="15" customHeight="1">
      <c r="A11" t="s">
        <v>16</v>
      </c>
      <c r="B11" s="5">
        <v>0.5</v>
      </c>
    </row>
    <row r="12" spans="1:6" ht="15" customHeight="1">
      <c r="A12" t="s">
        <v>17</v>
      </c>
      <c r="B12" s="2">
        <v>2.5000000000000001E-3</v>
      </c>
    </row>
    <row r="14" spans="1:6" ht="15" customHeight="1">
      <c r="A14" s="16"/>
      <c r="B14" s="17"/>
      <c r="C14" s="17"/>
      <c r="D14" s="17"/>
      <c r="E14" s="17"/>
      <c r="F14" s="17"/>
    </row>
    <row r="15" spans="1:6" ht="184.9" customHeight="1">
      <c r="A15" s="9"/>
      <c r="B15" s="9"/>
      <c r="C15" s="9"/>
      <c r="D15" s="9"/>
      <c r="E15" s="9"/>
      <c r="F15" s="9"/>
    </row>
    <row r="16" spans="1:6" ht="158.44999999999999" customHeight="1">
      <c r="A16" s="9"/>
      <c r="B16" s="9"/>
      <c r="C16" s="9"/>
      <c r="D16" s="9"/>
      <c r="E16" s="9"/>
      <c r="F16" s="9"/>
    </row>
    <row r="17" spans="1:6" ht="79.150000000000006" customHeight="1">
      <c r="A17" s="9"/>
      <c r="B17" s="9"/>
      <c r="C17" s="9"/>
      <c r="D17" s="9"/>
      <c r="E17" s="9"/>
      <c r="F17" s="9"/>
    </row>
    <row r="18" spans="1:6" ht="118.9" customHeight="1">
      <c r="A18" s="9"/>
      <c r="B18" s="9"/>
      <c r="C18" s="9"/>
      <c r="D18" s="9"/>
      <c r="E18" s="9"/>
      <c r="F18" s="9"/>
    </row>
  </sheetData>
  <mergeCells count="2">
    <mergeCell ref="A1:F1"/>
    <mergeCell ref="A14:F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H1"/>
    </sheetView>
  </sheetViews>
  <sheetFormatPr baseColWidth="10" defaultColWidth="9" defaultRowHeight="14.25"/>
  <cols>
    <col min="1" max="1" width="18" customWidth="1"/>
    <col min="2" max="8" width="20" customWidth="1"/>
  </cols>
  <sheetData>
    <row r="1" spans="1:8" ht="16.5">
      <c r="A1" s="18" t="s">
        <v>18</v>
      </c>
      <c r="B1" s="18"/>
      <c r="C1" s="18"/>
      <c r="D1" s="18"/>
      <c r="E1" s="18"/>
      <c r="F1" s="18"/>
      <c r="G1" s="18"/>
      <c r="H1" s="18"/>
    </row>
    <row r="3" spans="1:8" ht="30">
      <c r="A3" s="10" t="s">
        <v>19</v>
      </c>
      <c r="B3" s="10" t="s">
        <v>20</v>
      </c>
      <c r="C3" s="10" t="s">
        <v>21</v>
      </c>
      <c r="D3" s="10" t="s">
        <v>22</v>
      </c>
      <c r="E3" s="10" t="s">
        <v>23</v>
      </c>
      <c r="F3" s="10" t="s">
        <v>24</v>
      </c>
      <c r="G3" s="10" t="s">
        <v>25</v>
      </c>
      <c r="H3" s="10" t="s">
        <v>26</v>
      </c>
    </row>
    <row r="4" spans="1:8">
      <c r="A4" s="4">
        <v>1.05</v>
      </c>
      <c r="B4" s="11">
        <f>Inputs!$B$4/A4</f>
        <v>95238.095238095237</v>
      </c>
      <c r="C4" s="11">
        <f>Inputs!$B$4/Inputs!$E$4</f>
        <v>85780.129737111623</v>
      </c>
      <c r="D4" s="11">
        <f>MIN(Inputs!$B$4/Inputs!$B$9,Inputs!$B$4/A4)+Inputs!$E$6</f>
        <v>87500</v>
      </c>
      <c r="E4" s="11">
        <f>Inputs!$B$11*C4+(1-Inputs!$B$11)*B4</f>
        <v>90509.11248760343</v>
      </c>
      <c r="F4" s="11">
        <f>B4-C4</f>
        <v>9457.9655009836133</v>
      </c>
      <c r="G4" s="11">
        <f>B4-D4</f>
        <v>7738.0952380952367</v>
      </c>
      <c r="H4" s="11">
        <f>B4-E4</f>
        <v>4728.9827504918067</v>
      </c>
    </row>
    <row r="5" spans="1:8">
      <c r="A5" s="4">
        <v>1.1000000000000001</v>
      </c>
      <c r="B5" s="11">
        <f>Inputs!$B$4/A5</f>
        <v>90909.090909090897</v>
      </c>
      <c r="C5" s="11">
        <f>Inputs!$B$4/Inputs!$E$4</f>
        <v>85780.129737111623</v>
      </c>
      <c r="D5" s="11">
        <f>MIN(Inputs!$B$4/Inputs!$B$9,Inputs!$B$4/A5)+Inputs!$E$6</f>
        <v>87500</v>
      </c>
      <c r="E5" s="11">
        <f>Inputs!$B$11*C5+(1-Inputs!$B$11)*B5</f>
        <v>88344.610323101253</v>
      </c>
      <c r="F5" s="11">
        <f>B5-C5</f>
        <v>5128.9611719792738</v>
      </c>
      <c r="G5" s="11">
        <f>B5-D5</f>
        <v>3409.0909090908972</v>
      </c>
      <c r="H5" s="11">
        <f>B5-E5</f>
        <v>2564.4805859896442</v>
      </c>
    </row>
    <row r="6" spans="1:8">
      <c r="A6" s="4">
        <v>1.1599999999999999</v>
      </c>
      <c r="B6" s="11">
        <f>Inputs!$B$4/A6</f>
        <v>86206.896551724145</v>
      </c>
      <c r="C6" s="11">
        <f>Inputs!$B$4/Inputs!$E$4</f>
        <v>85780.129737111623</v>
      </c>
      <c r="D6" s="11">
        <f>MIN(Inputs!$B$4/Inputs!$B$9,Inputs!$B$4/A6)+Inputs!$E$6</f>
        <v>87500</v>
      </c>
      <c r="E6" s="11">
        <f>Inputs!$B$11*C6+(1-Inputs!$B$11)*B6</f>
        <v>85993.513144417884</v>
      </c>
      <c r="F6" s="11">
        <f>B6-C6</f>
        <v>426.76681461252156</v>
      </c>
      <c r="G6" s="11">
        <f>B6-D6</f>
        <v>-1293.103448275855</v>
      </c>
      <c r="H6" s="11">
        <f>B6-E6</f>
        <v>213.38340730626078</v>
      </c>
    </row>
    <row r="7" spans="1:8">
      <c r="A7" s="4">
        <v>1.22</v>
      </c>
      <c r="B7" s="11">
        <f>Inputs!$B$4/A7</f>
        <v>81967.213114754093</v>
      </c>
      <c r="C7" s="11">
        <f>Inputs!$B$4/Inputs!$E$4</f>
        <v>85780.129737111623</v>
      </c>
      <c r="D7" s="11">
        <f>MIN(Inputs!$B$4/Inputs!$B$9,Inputs!$B$4/A7)+Inputs!$E$6</f>
        <v>83260.316563029948</v>
      </c>
      <c r="E7" s="11">
        <f>Inputs!$B$11*C7+(1-Inputs!$B$11)*B7</f>
        <v>83873.671425932858</v>
      </c>
      <c r="F7" s="11">
        <f>B7-C7</f>
        <v>-3812.9166223575303</v>
      </c>
      <c r="G7" s="11">
        <f>B7-D7</f>
        <v>-1293.103448275855</v>
      </c>
      <c r="H7" s="11">
        <f>B7-E7</f>
        <v>-1906.4583111787651</v>
      </c>
    </row>
    <row r="8" spans="1:8">
      <c r="A8" s="4">
        <v>1.28</v>
      </c>
      <c r="B8" s="11">
        <f>Inputs!$B$4/A8</f>
        <v>78125</v>
      </c>
      <c r="C8" s="11">
        <f>Inputs!$B$4/Inputs!$E$4</f>
        <v>85780.129737111623</v>
      </c>
      <c r="D8" s="11">
        <f>MIN(Inputs!$B$4/Inputs!$B$9,Inputs!$B$4/A8)+Inputs!$E$6</f>
        <v>79418.103448275855</v>
      </c>
      <c r="E8" s="11">
        <f>Inputs!$B$11*C8+(1-Inputs!$B$11)*B8</f>
        <v>81952.564868555812</v>
      </c>
      <c r="F8" s="11">
        <f>B8-C8</f>
        <v>-7655.1297371116234</v>
      </c>
      <c r="G8" s="11">
        <f>B8-D8</f>
        <v>-1293.103448275855</v>
      </c>
      <c r="H8" s="11">
        <f>B8-E8</f>
        <v>-3827.5648685558117</v>
      </c>
    </row>
    <row r="10" spans="1:8" ht="15">
      <c r="A10" s="19" t="s">
        <v>27</v>
      </c>
      <c r="B10" s="20"/>
      <c r="C10" s="20"/>
      <c r="D10" s="20"/>
      <c r="E10" s="20"/>
      <c r="F10" s="20"/>
      <c r="G10" s="20"/>
      <c r="H10" s="20"/>
    </row>
    <row r="11" spans="1:8" ht="28.5">
      <c r="A11" s="9" t="s">
        <v>28</v>
      </c>
      <c r="B11" s="20" t="s">
        <v>29</v>
      </c>
      <c r="C11" s="20"/>
      <c r="D11" s="20"/>
      <c r="E11" s="20"/>
      <c r="F11" s="20"/>
      <c r="G11" s="20"/>
      <c r="H11" s="20"/>
    </row>
    <row r="12" spans="1:8" ht="28.5">
      <c r="A12" s="9" t="s">
        <v>30</v>
      </c>
      <c r="B12" s="20" t="s">
        <v>31</v>
      </c>
      <c r="C12" s="20"/>
      <c r="D12" s="20"/>
      <c r="E12" s="20"/>
      <c r="F12" s="20"/>
      <c r="G12" s="20"/>
      <c r="H12" s="20"/>
    </row>
    <row r="13" spans="1:8">
      <c r="A13" s="9" t="s">
        <v>32</v>
      </c>
      <c r="B13" s="20" t="s">
        <v>33</v>
      </c>
      <c r="C13" s="20"/>
      <c r="D13" s="20"/>
      <c r="E13" s="20"/>
      <c r="F13" s="20"/>
      <c r="G13" s="20"/>
      <c r="H13" s="20"/>
    </row>
  </sheetData>
  <mergeCells count="5">
    <mergeCell ref="A1:H1"/>
    <mergeCell ref="A10:H10"/>
    <mergeCell ref="B11:H11"/>
    <mergeCell ref="B12:H12"/>
    <mergeCell ref="B13:H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F15" sqref="F15"/>
    </sheetView>
  </sheetViews>
  <sheetFormatPr baseColWidth="10" defaultColWidth="9" defaultRowHeight="14.25"/>
  <cols>
    <col min="1" max="1" width="24" customWidth="1"/>
    <col min="2" max="2" width="22" customWidth="1"/>
  </cols>
  <sheetData>
    <row r="1" spans="1:8" ht="16.7" customHeight="1">
      <c r="A1" s="21" t="s">
        <v>34</v>
      </c>
      <c r="B1" s="21"/>
      <c r="C1" s="21"/>
      <c r="D1" s="21"/>
      <c r="E1" s="21"/>
      <c r="F1" s="21"/>
      <c r="G1" s="21"/>
      <c r="H1" s="21"/>
    </row>
    <row r="3" spans="1:8" ht="15" customHeight="1">
      <c r="A3" s="1" t="s">
        <v>35</v>
      </c>
      <c r="B3" s="1" t="s">
        <v>2</v>
      </c>
    </row>
    <row r="4" spans="1:8" ht="15" customHeight="1">
      <c r="A4" t="s">
        <v>36</v>
      </c>
      <c r="B4" s="12">
        <f>Inputs!B4</f>
        <v>100000</v>
      </c>
    </row>
    <row r="5" spans="1:8" ht="15" customHeight="1">
      <c r="A5" t="s">
        <v>37</v>
      </c>
      <c r="B5" s="13">
        <f>Inputs!E4</f>
        <v>1.1657711442786072</v>
      </c>
    </row>
    <row r="6" spans="1:8" ht="15" customHeight="1">
      <c r="A6" t="s">
        <v>38</v>
      </c>
      <c r="B6" s="11">
        <f>Inputs!E7</f>
        <v>85780.129737111623</v>
      </c>
    </row>
    <row r="7" spans="1:8" ht="15" customHeight="1">
      <c r="A7" t="s">
        <v>16</v>
      </c>
      <c r="B7" s="14">
        <f>Inputs!B11</f>
        <v>0.5</v>
      </c>
    </row>
    <row r="9" spans="1:8" ht="15" customHeight="1">
      <c r="A9" s="19" t="s">
        <v>39</v>
      </c>
      <c r="B9" s="20"/>
      <c r="C9" s="20"/>
      <c r="D9" s="20"/>
      <c r="E9" s="20"/>
      <c r="F9" s="20"/>
      <c r="G9" s="20"/>
      <c r="H9" s="20"/>
    </row>
    <row r="10" spans="1:8" ht="15" customHeight="1">
      <c r="A10" s="9" t="s">
        <v>40</v>
      </c>
      <c r="B10" s="20" t="s">
        <v>41</v>
      </c>
      <c r="C10" s="20"/>
      <c r="D10" s="20"/>
      <c r="E10" s="20"/>
      <c r="F10" s="20"/>
      <c r="G10" s="20"/>
      <c r="H10" s="20"/>
    </row>
    <row r="11" spans="1:8" ht="26.45" customHeight="1">
      <c r="A11" s="9" t="s">
        <v>42</v>
      </c>
      <c r="B11" s="20" t="s">
        <v>43</v>
      </c>
      <c r="C11" s="20"/>
      <c r="D11" s="20"/>
      <c r="E11" s="20"/>
      <c r="F11" s="20"/>
      <c r="G11" s="20"/>
      <c r="H11" s="20"/>
    </row>
    <row r="12" spans="1:8" ht="15" customHeight="1">
      <c r="A12" s="9" t="s">
        <v>44</v>
      </c>
      <c r="B12" s="20" t="s">
        <v>45</v>
      </c>
      <c r="C12" s="20"/>
      <c r="D12" s="20"/>
      <c r="E12" s="20"/>
      <c r="F12" s="20"/>
      <c r="G12" s="20"/>
      <c r="H12" s="20"/>
    </row>
  </sheetData>
  <mergeCells count="5">
    <mergeCell ref="A1:H1"/>
    <mergeCell ref="A9:H9"/>
    <mergeCell ref="B10:H10"/>
    <mergeCell ref="B11:H11"/>
    <mergeCell ref="B12:H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Inputs</vt:lpstr>
      <vt:lpstr>Scenario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2026-08-11T23:10:40Z</dcterms:created>
  <dcterms:modified xsi:type="dcterms:W3CDTF">2026-08-11T23:13:02Z</dcterms:modified>
</cp:coreProperties>
</file>